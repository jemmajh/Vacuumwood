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in_perustiedot" sheetId="1" r:id="rId4"/>
    <sheet state="visible" name="Investointi" sheetId="2" r:id="rId5"/>
    <sheet state="visible" name="Takaisinmaksu" sheetId="3" r:id="rId6"/>
  </sheets>
  <definedNames/>
  <calcPr/>
</workbook>
</file>

<file path=xl/sharedStrings.xml><?xml version="1.0" encoding="utf-8"?>
<sst xmlns="http://schemas.openxmlformats.org/spreadsheetml/2006/main" count="133" uniqueCount="78">
  <si>
    <t>Refitted Farm</t>
  </si>
  <si>
    <t>Building Inner Dimensions</t>
  </si>
  <si>
    <t>Rakennuksen ulkodimensiot (esim.)</t>
  </si>
  <si>
    <t>Length</t>
  </si>
  <si>
    <t>m</t>
  </si>
  <si>
    <t>€</t>
  </si>
  <si>
    <t>Width</t>
  </si>
  <si>
    <t>Height</t>
  </si>
  <si>
    <t>Floor Area</t>
  </si>
  <si>
    <t>m²</t>
  </si>
  <si>
    <t>Farming Automation Provider</t>
  </si>
  <si>
    <t>High Automation</t>
  </si>
  <si>
    <t>Buildin Envelope Area</t>
  </si>
  <si>
    <t>Floor Usage Efficiench</t>
  </si>
  <si>
    <t>Cultivation Area per Floor</t>
  </si>
  <si>
    <t>m2</t>
  </si>
  <si>
    <t>Number of Floors</t>
  </si>
  <si>
    <t>Total</t>
  </si>
  <si>
    <t>Energy Consumption</t>
  </si>
  <si>
    <t>Potential to use excess heat to warm nearby buildings:</t>
  </si>
  <si>
    <t>LED Light Energy Consumption</t>
  </si>
  <si>
    <t>W</t>
  </si>
  <si>
    <t>Energy production per year</t>
  </si>
  <si>
    <t>kWh</t>
  </si>
  <si>
    <t>Lights On per Year</t>
  </si>
  <si>
    <t>h</t>
  </si>
  <si>
    <t>Climate Control Energy Consumption per m2</t>
  </si>
  <si>
    <t>Winter energy production</t>
  </si>
  <si>
    <t>Other per m2</t>
  </si>
  <si>
    <t>Value of heat energy</t>
  </si>
  <si>
    <t>€/kWh</t>
  </si>
  <si>
    <t>Total per m2</t>
  </si>
  <si>
    <t>Income:</t>
  </si>
  <si>
    <t>Energy Price</t>
  </si>
  <si>
    <t>Product 1 (Lettuce)</t>
  </si>
  <si>
    <t>Energy Cost</t>
  </si>
  <si>
    <t>€/vuosi</t>
  </si>
  <si>
    <t>Yield per year per m2</t>
  </si>
  <si>
    <t>kg</t>
  </si>
  <si>
    <t>Cultivation Area</t>
  </si>
  <si>
    <t>Energy Consumption per kg of product</t>
  </si>
  <si>
    <t>kWh/kg of Lettuce</t>
  </si>
  <si>
    <t>Yarly Yield</t>
  </si>
  <si>
    <t>Price per Kg</t>
  </si>
  <si>
    <t>Energy Cost per kg of lettuce</t>
  </si>
  <si>
    <t>€/kg</t>
  </si>
  <si>
    <t>Product 2 (Basil)</t>
  </si>
  <si>
    <t>Required Power</t>
  </si>
  <si>
    <t>kWp</t>
  </si>
  <si>
    <t>Other Costs per Cultivation m2</t>
  </si>
  <si>
    <t>Total Yearly Sales</t>
  </si>
  <si>
    <t>Costs</t>
  </si>
  <si>
    <t>Electricity</t>
  </si>
  <si>
    <t>Labor</t>
  </si>
  <si>
    <t>Other</t>
  </si>
  <si>
    <t>Logistics</t>
  </si>
  <si>
    <t>Building Maintenance</t>
  </si>
  <si>
    <t>Investment Costs</t>
  </si>
  <si>
    <t>Building</t>
  </si>
  <si>
    <t>Farmin Equipment</t>
  </si>
  <si>
    <t>Subsidies</t>
  </si>
  <si>
    <t>Key Business Numbers:</t>
  </si>
  <si>
    <t>Yearly Sales</t>
  </si>
  <si>
    <t>Yearly Costs</t>
  </si>
  <si>
    <t>Yearly Margin</t>
  </si>
  <si>
    <t>MTK-Farmi</t>
  </si>
  <si>
    <t>Presumptions</t>
  </si>
  <si>
    <t>Yearly Sales Margin</t>
  </si>
  <si>
    <t>Discount Factor</t>
  </si>
  <si>
    <t>*100 % per Year</t>
  </si>
  <si>
    <t>Year 1 operational efficiency ( Accounting for the fact that it takes time to get the operation to run at full speed)</t>
  </si>
  <si>
    <t>Yearly increase in efficiency</t>
  </si>
  <si>
    <t>*100 % per vuosi</t>
  </si>
  <si>
    <t>Year</t>
  </si>
  <si>
    <t>Discounted Sales</t>
  </si>
  <si>
    <t>Cumulative Discounted Sales</t>
  </si>
  <si>
    <t>Replace Invest.</t>
  </si>
  <si>
    <t>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</si>
</sst>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0" fillId="0" fontId="3" numFmtId="0" xfId="0" applyFont="1"/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0" xfId="0" applyAlignment="1" applyBorder="1" applyFont="1">
      <alignment horizontal="left" readingOrder="0"/>
    </xf>
    <xf borderId="2" fillId="0" fontId="3" numFmtId="1" xfId="0" applyBorder="1" applyFont="1" applyNumberFormat="1"/>
    <xf borderId="2" fillId="0" fontId="3" numFmtId="1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7.5"/>
    <col customWidth="1" min="4" max="4" width="37.0"/>
    <col customWidth="1" min="5" max="5" width="7.0"/>
    <col customWidth="1" min="7" max="7" width="55.5"/>
  </cols>
  <sheetData>
    <row r="1">
      <c r="A1" s="1" t="s">
        <v>0</v>
      </c>
    </row>
    <row r="3">
      <c r="A3" s="2" t="s">
        <v>1</v>
      </c>
      <c r="D3" s="2" t="s">
        <v>2</v>
      </c>
    </row>
    <row r="4">
      <c r="A4" s="3" t="s">
        <v>3</v>
      </c>
      <c r="B4" s="4">
        <v>30.0</v>
      </c>
      <c r="C4" s="3" t="s">
        <v>4</v>
      </c>
      <c r="D4" s="3" t="s">
        <v>3</v>
      </c>
      <c r="E4" s="5">
        <f t="shared" ref="E4:E5" si="1">B4+2*0.3</f>
        <v>30.6</v>
      </c>
      <c r="F4" s="3" t="s">
        <v>4</v>
      </c>
      <c r="I4" s="3" t="s">
        <v>5</v>
      </c>
    </row>
    <row r="5">
      <c r="A5" s="3" t="s">
        <v>6</v>
      </c>
      <c r="B5" s="3">
        <v>20.0</v>
      </c>
      <c r="C5" s="3" t="s">
        <v>4</v>
      </c>
      <c r="D5" s="3" t="s">
        <v>6</v>
      </c>
      <c r="E5" s="6">
        <f t="shared" si="1"/>
        <v>20.6</v>
      </c>
      <c r="F5" s="3" t="s">
        <v>4</v>
      </c>
      <c r="I5" s="3" t="s">
        <v>5</v>
      </c>
    </row>
    <row r="6">
      <c r="A6" s="3" t="s">
        <v>7</v>
      </c>
      <c r="B6" s="3">
        <v>2.6</v>
      </c>
      <c r="C6" s="3" t="s">
        <v>4</v>
      </c>
      <c r="D6" s="3" t="s">
        <v>7</v>
      </c>
      <c r="E6" s="6">
        <f>B6+0.4+0.3</f>
        <v>3.3</v>
      </c>
      <c r="F6" s="3" t="s">
        <v>4</v>
      </c>
    </row>
    <row r="8">
      <c r="A8" s="3" t="s">
        <v>8</v>
      </c>
      <c r="B8" s="7">
        <f>B4*B5</f>
        <v>600</v>
      </c>
      <c r="C8" s="3" t="s">
        <v>9</v>
      </c>
      <c r="D8" s="3" t="s">
        <v>10</v>
      </c>
      <c r="G8" s="3" t="s">
        <v>11</v>
      </c>
    </row>
    <row r="9">
      <c r="A9" s="3" t="s">
        <v>12</v>
      </c>
      <c r="B9" s="7">
        <f>E4*E5+2*E4*3+2*(E5-2*0.3)*3</f>
        <v>933.96</v>
      </c>
      <c r="C9" s="3" t="s">
        <v>9</v>
      </c>
    </row>
    <row r="11">
      <c r="A11" s="3" t="s">
        <v>13</v>
      </c>
      <c r="B11" s="3">
        <v>0.75</v>
      </c>
    </row>
    <row r="12">
      <c r="A12" s="3" t="s">
        <v>14</v>
      </c>
      <c r="B12" s="6">
        <f>B15/B13</f>
        <v>450</v>
      </c>
      <c r="C12" s="3" t="s">
        <v>15</v>
      </c>
    </row>
    <row r="13">
      <c r="A13" s="3" t="s">
        <v>16</v>
      </c>
      <c r="B13" s="3">
        <v>6.0</v>
      </c>
    </row>
    <row r="15">
      <c r="A15" s="3" t="s">
        <v>17</v>
      </c>
      <c r="B15" s="7">
        <f>B8*B11*B13</f>
        <v>2700</v>
      </c>
      <c r="C15" s="3" t="s">
        <v>15</v>
      </c>
    </row>
    <row r="18">
      <c r="A18" s="2"/>
      <c r="D18" s="2" t="s">
        <v>18</v>
      </c>
      <c r="G18" s="2" t="s">
        <v>19</v>
      </c>
    </row>
    <row r="19">
      <c r="D19" s="3" t="s">
        <v>20</v>
      </c>
      <c r="E19" s="3">
        <v>80.0</v>
      </c>
      <c r="F19" s="3" t="s">
        <v>21</v>
      </c>
      <c r="G19" s="3" t="s">
        <v>22</v>
      </c>
      <c r="H19" s="8">
        <f>E24*0.7*B15</f>
        <v>1341068.4</v>
      </c>
      <c r="I19" s="3" t="s">
        <v>23</v>
      </c>
    </row>
    <row r="20">
      <c r="D20" s="3" t="s">
        <v>24</v>
      </c>
      <c r="E20" s="6">
        <f>18*365</f>
        <v>6570</v>
      </c>
      <c r="F20" s="3" t="s">
        <v>25</v>
      </c>
      <c r="H20" s="7"/>
    </row>
    <row r="21">
      <c r="D21" s="3" t="s">
        <v>26</v>
      </c>
      <c r="E21" s="5">
        <f>E19*0.25</f>
        <v>20</v>
      </c>
      <c r="F21" s="3" t="s">
        <v>21</v>
      </c>
      <c r="G21" s="3" t="s">
        <v>27</v>
      </c>
      <c r="H21" s="6">
        <f>0.4*H19</f>
        <v>536427.36</v>
      </c>
      <c r="I21" s="3" t="s">
        <v>23</v>
      </c>
    </row>
    <row r="22">
      <c r="D22" s="3" t="s">
        <v>28</v>
      </c>
      <c r="E22" s="6">
        <f>E19*0.1</f>
        <v>8</v>
      </c>
      <c r="F22" s="3" t="s">
        <v>21</v>
      </c>
    </row>
    <row r="23">
      <c r="A23" s="9"/>
      <c r="G23" s="3" t="s">
        <v>29</v>
      </c>
      <c r="H23" s="3">
        <v>0.04</v>
      </c>
      <c r="I23" s="3" t="s">
        <v>30</v>
      </c>
    </row>
    <row r="24">
      <c r="D24" s="3" t="s">
        <v>31</v>
      </c>
      <c r="E24" s="7">
        <f>(E21+E19+E22)/1000*E20</f>
        <v>709.56</v>
      </c>
      <c r="F24" s="3" t="s">
        <v>23</v>
      </c>
    </row>
    <row r="25">
      <c r="E25" s="7"/>
      <c r="G25" s="3" t="s">
        <v>17</v>
      </c>
      <c r="H25" s="6">
        <f>H23*H21</f>
        <v>21457.0944</v>
      </c>
      <c r="I25" s="3" t="s">
        <v>5</v>
      </c>
    </row>
    <row r="26">
      <c r="A26" s="2" t="s">
        <v>32</v>
      </c>
      <c r="D26" s="3" t="s">
        <v>33</v>
      </c>
      <c r="E26" s="3">
        <v>0.08</v>
      </c>
      <c r="F26" s="3" t="s">
        <v>30</v>
      </c>
    </row>
    <row r="27">
      <c r="A27" s="3" t="s">
        <v>34</v>
      </c>
      <c r="B27" s="3">
        <v>0.8</v>
      </c>
      <c r="D27" s="3" t="s">
        <v>35</v>
      </c>
      <c r="E27" s="7">
        <f>E26*E24*B15</f>
        <v>153264.96</v>
      </c>
      <c r="F27" s="3" t="s">
        <v>36</v>
      </c>
    </row>
    <row r="28">
      <c r="A28" s="3" t="s">
        <v>37</v>
      </c>
      <c r="B28" s="3">
        <v>70.0</v>
      </c>
      <c r="C28" s="3" t="s">
        <v>38</v>
      </c>
    </row>
    <row r="29">
      <c r="A29" s="3" t="s">
        <v>39</v>
      </c>
      <c r="B29" s="8">
        <f>B15*B27</f>
        <v>2160</v>
      </c>
      <c r="C29" s="3" t="s">
        <v>9</v>
      </c>
      <c r="D29" s="3" t="s">
        <v>40</v>
      </c>
      <c r="E29" s="7">
        <f>E24/70</f>
        <v>10.13657143</v>
      </c>
      <c r="F29" s="3" t="s">
        <v>41</v>
      </c>
    </row>
    <row r="30">
      <c r="A30" s="3" t="s">
        <v>42</v>
      </c>
      <c r="B30" s="8">
        <f>B28*B29</f>
        <v>151200</v>
      </c>
      <c r="C30" s="3" t="s">
        <v>38</v>
      </c>
      <c r="D30" s="3"/>
      <c r="E30" s="7"/>
      <c r="F30" s="3"/>
    </row>
    <row r="31">
      <c r="A31" s="3" t="s">
        <v>43</v>
      </c>
      <c r="B31" s="3">
        <v>7.0</v>
      </c>
      <c r="C31" s="3" t="s">
        <v>5</v>
      </c>
      <c r="D31" s="3" t="s">
        <v>44</v>
      </c>
      <c r="E31" s="5">
        <f>E29*E26</f>
        <v>0.8109257143</v>
      </c>
      <c r="F31" s="3" t="s">
        <v>45</v>
      </c>
    </row>
    <row r="32">
      <c r="A32" s="3" t="s">
        <v>17</v>
      </c>
      <c r="B32" s="7">
        <f>B28*B29*B31</f>
        <v>1058400</v>
      </c>
      <c r="C32" s="3" t="s">
        <v>5</v>
      </c>
    </row>
    <row r="34">
      <c r="A34" s="3" t="s">
        <v>46</v>
      </c>
      <c r="B34" s="3">
        <v>0.2</v>
      </c>
    </row>
    <row r="35">
      <c r="A35" s="3" t="s">
        <v>37</v>
      </c>
      <c r="B35" s="3">
        <v>30.0</v>
      </c>
      <c r="C35" s="3" t="s">
        <v>38</v>
      </c>
    </row>
    <row r="36">
      <c r="A36" s="3" t="s">
        <v>39</v>
      </c>
      <c r="B36" s="7">
        <f>B34*B15</f>
        <v>540</v>
      </c>
      <c r="C36" s="3" t="s">
        <v>15</v>
      </c>
    </row>
    <row r="37">
      <c r="A37" s="3" t="s">
        <v>42</v>
      </c>
      <c r="B37" s="7">
        <f>B36*B35</f>
        <v>16200</v>
      </c>
      <c r="C37" s="3" t="s">
        <v>38</v>
      </c>
    </row>
    <row r="38">
      <c r="A38" s="3" t="s">
        <v>43</v>
      </c>
      <c r="B38" s="3">
        <v>20.0</v>
      </c>
      <c r="C38" s="3" t="s">
        <v>5</v>
      </c>
      <c r="D38" s="3" t="s">
        <v>47</v>
      </c>
      <c r="E38" s="6">
        <f>100*B15/1000</f>
        <v>270</v>
      </c>
      <c r="F38" s="3" t="s">
        <v>48</v>
      </c>
    </row>
    <row r="39">
      <c r="A39" s="3" t="s">
        <v>17</v>
      </c>
      <c r="B39" s="7">
        <f>B35*B36*B38</f>
        <v>324000</v>
      </c>
      <c r="C39" s="3" t="s">
        <v>5</v>
      </c>
    </row>
    <row r="40">
      <c r="A40" s="3"/>
    </row>
    <row r="44">
      <c r="D44" s="3" t="s">
        <v>49</v>
      </c>
      <c r="F44" s="3">
        <v>75.0</v>
      </c>
    </row>
    <row r="47">
      <c r="A47" s="3" t="s">
        <v>50</v>
      </c>
      <c r="B47" s="7">
        <f>B32+B39</f>
        <v>1382400</v>
      </c>
      <c r="C47" s="3" t="s">
        <v>5</v>
      </c>
    </row>
    <row r="49">
      <c r="A49" s="2" t="s">
        <v>51</v>
      </c>
    </row>
    <row r="50">
      <c r="A50" s="3" t="s">
        <v>52</v>
      </c>
      <c r="B50" s="7">
        <f>E27</f>
        <v>153264.96</v>
      </c>
      <c r="C50" s="3" t="s">
        <v>5</v>
      </c>
    </row>
    <row r="51">
      <c r="A51" s="3" t="s">
        <v>53</v>
      </c>
      <c r="B51" s="3">
        <f>2100*2*12*1.3</f>
        <v>65520</v>
      </c>
      <c r="C51" s="3" t="s">
        <v>5</v>
      </c>
    </row>
    <row r="52">
      <c r="A52" s="3" t="s">
        <v>54</v>
      </c>
      <c r="B52" s="8">
        <f>F44*B15</f>
        <v>202500</v>
      </c>
      <c r="C52" s="3" t="s">
        <v>5</v>
      </c>
    </row>
    <row r="53">
      <c r="A53" s="3" t="s">
        <v>55</v>
      </c>
      <c r="B53" s="8">
        <f>0.35*(B30+B37)</f>
        <v>58590</v>
      </c>
      <c r="C53" s="3" t="s">
        <v>5</v>
      </c>
    </row>
    <row r="54">
      <c r="A54" s="3" t="s">
        <v>56</v>
      </c>
      <c r="B54" s="8">
        <f>15*B9</f>
        <v>14009.4</v>
      </c>
      <c r="C54" s="3" t="s">
        <v>5</v>
      </c>
    </row>
    <row r="55">
      <c r="A55" s="3" t="s">
        <v>17</v>
      </c>
      <c r="B55" s="7">
        <f>SUM(B50:B54)</f>
        <v>493884.36</v>
      </c>
      <c r="C55" s="3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</row>
    <row r="3">
      <c r="A3" s="3"/>
    </row>
    <row r="5">
      <c r="A5" s="2" t="s">
        <v>57</v>
      </c>
    </row>
    <row r="7">
      <c r="A7" s="3" t="s">
        <v>58</v>
      </c>
      <c r="B7" s="8">
        <f>500*Farmin_perustiedot!B9</f>
        <v>466980</v>
      </c>
      <c r="C7" s="3" t="s">
        <v>5</v>
      </c>
    </row>
    <row r="8">
      <c r="A8" s="3" t="s">
        <v>59</v>
      </c>
      <c r="B8" s="7">
        <f>950*Farmin_perustiedot!B15</f>
        <v>2565000</v>
      </c>
      <c r="C8" s="3" t="s">
        <v>5</v>
      </c>
    </row>
    <row r="9">
      <c r="A9" s="3" t="s">
        <v>54</v>
      </c>
      <c r="B9" s="8">
        <v>50000.0</v>
      </c>
      <c r="C9" s="3" t="s">
        <v>5</v>
      </c>
    </row>
    <row r="10">
      <c r="B10" s="7"/>
    </row>
    <row r="11">
      <c r="A11" s="3" t="s">
        <v>60</v>
      </c>
      <c r="B11" s="7">
        <f>0.3*B8+0.3*B7</f>
        <v>909594</v>
      </c>
      <c r="C11" s="3" t="s">
        <v>5</v>
      </c>
    </row>
    <row r="12">
      <c r="B12" s="7"/>
    </row>
    <row r="13">
      <c r="A13" s="3" t="s">
        <v>17</v>
      </c>
      <c r="B13" s="7">
        <f>B7+B8+B9-B11</f>
        <v>2172386</v>
      </c>
      <c r="C13" s="3" t="s">
        <v>5</v>
      </c>
    </row>
    <row r="16">
      <c r="A16" s="2" t="s">
        <v>61</v>
      </c>
    </row>
    <row r="18">
      <c r="A18" s="3" t="s">
        <v>62</v>
      </c>
      <c r="B18" s="7">
        <f>Farmin_perustiedot!B47</f>
        <v>1382400</v>
      </c>
      <c r="C18" s="3" t="s">
        <v>5</v>
      </c>
    </row>
    <row r="19">
      <c r="A19" s="3" t="s">
        <v>63</v>
      </c>
      <c r="B19" s="7">
        <f>Farmin_perustiedot!B55</f>
        <v>493884.36</v>
      </c>
      <c r="C19" s="3" t="s">
        <v>5</v>
      </c>
    </row>
    <row r="21">
      <c r="A21" s="3" t="s">
        <v>64</v>
      </c>
      <c r="B21" s="7">
        <f>B18-B19</f>
        <v>888515.64</v>
      </c>
      <c r="C21" s="3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65</v>
      </c>
    </row>
    <row r="3">
      <c r="A3" s="3" t="s">
        <v>66</v>
      </c>
    </row>
    <row r="5">
      <c r="A5" s="3" t="s">
        <v>57</v>
      </c>
      <c r="C5" s="7">
        <f>Investointi!B13</f>
        <v>2172386</v>
      </c>
      <c r="D5" s="3" t="s">
        <v>5</v>
      </c>
    </row>
    <row r="6">
      <c r="A6" s="3" t="s">
        <v>67</v>
      </c>
      <c r="C6" s="7">
        <f>Investointi!B21</f>
        <v>888515.64</v>
      </c>
      <c r="D6" s="3" t="s">
        <v>5</v>
      </c>
    </row>
    <row r="8">
      <c r="A8" s="3" t="s">
        <v>68</v>
      </c>
      <c r="C8" s="3">
        <v>0.05</v>
      </c>
      <c r="D8" s="3" t="s">
        <v>69</v>
      </c>
    </row>
    <row r="9">
      <c r="A9" s="3" t="s">
        <v>70</v>
      </c>
      <c r="J9" s="3">
        <v>0.8</v>
      </c>
    </row>
    <row r="10">
      <c r="A10" s="3" t="s">
        <v>71</v>
      </c>
      <c r="C10" s="3">
        <v>0.015</v>
      </c>
      <c r="D10" s="3" t="s">
        <v>72</v>
      </c>
    </row>
    <row r="15">
      <c r="A15" s="10" t="s">
        <v>73</v>
      </c>
      <c r="B15" s="10" t="s">
        <v>74</v>
      </c>
      <c r="C15" s="11"/>
      <c r="D15" s="10" t="s">
        <v>75</v>
      </c>
      <c r="E15" s="11"/>
      <c r="F15" s="10" t="s">
        <v>76</v>
      </c>
      <c r="G15" s="10" t="s">
        <v>77</v>
      </c>
    </row>
    <row r="16">
      <c r="A16" s="12">
        <v>0.0</v>
      </c>
      <c r="B16" s="13">
        <f>$C$6/(1+$C$8)^A16*J9+Farmin_perustiedot!H25</f>
        <v>732269.6064</v>
      </c>
      <c r="C16" s="13"/>
      <c r="D16" s="13">
        <f>B16</f>
        <v>732269.6064</v>
      </c>
      <c r="E16" s="13"/>
      <c r="F16" s="13"/>
      <c r="G16" s="13">
        <f>-$C$5+D16</f>
        <v>-1440116.394</v>
      </c>
    </row>
    <row r="17">
      <c r="A17" s="12">
        <v>1.0</v>
      </c>
      <c r="B17" s="13">
        <f t="shared" ref="B17:B26" si="1">$C$6*(1+$C$10)^A17/(1+$C$8)^A17</f>
        <v>858898.452</v>
      </c>
      <c r="C17" s="13"/>
      <c r="D17" s="13">
        <f t="shared" ref="D17:D26" si="2">B17+D16</f>
        <v>1591168.058</v>
      </c>
      <c r="E17" s="13"/>
      <c r="F17" s="13"/>
      <c r="G17" s="13">
        <f t="shared" ref="G17:G26" si="3">G16+B17-F17</f>
        <v>-581217.9416</v>
      </c>
    </row>
    <row r="18">
      <c r="A18" s="12">
        <v>2.0</v>
      </c>
      <c r="B18" s="13">
        <f t="shared" si="1"/>
        <v>830268.5036</v>
      </c>
      <c r="C18" s="13"/>
      <c r="D18" s="13">
        <f t="shared" si="2"/>
        <v>2421436.562</v>
      </c>
      <c r="E18" s="13"/>
      <c r="F18" s="13"/>
      <c r="G18" s="13">
        <f t="shared" si="3"/>
        <v>249050.562</v>
      </c>
    </row>
    <row r="19">
      <c r="A19" s="12">
        <v>3.0</v>
      </c>
      <c r="B19" s="13">
        <f t="shared" si="1"/>
        <v>802592.8868</v>
      </c>
      <c r="C19" s="13"/>
      <c r="D19" s="13">
        <f t="shared" si="2"/>
        <v>3224029.449</v>
      </c>
      <c r="E19" s="13"/>
      <c r="F19" s="13"/>
      <c r="G19" s="13">
        <f t="shared" si="3"/>
        <v>1051643.449</v>
      </c>
    </row>
    <row r="20">
      <c r="A20" s="12">
        <v>4.0</v>
      </c>
      <c r="B20" s="13">
        <f t="shared" si="1"/>
        <v>775839.7906</v>
      </c>
      <c r="C20" s="13"/>
      <c r="D20" s="13">
        <f t="shared" si="2"/>
        <v>3999869.239</v>
      </c>
      <c r="E20" s="13"/>
      <c r="F20" s="14">
        <v>50000.0</v>
      </c>
      <c r="G20" s="13">
        <f t="shared" si="3"/>
        <v>1777483.239</v>
      </c>
    </row>
    <row r="21">
      <c r="A21" s="12">
        <v>5.0</v>
      </c>
      <c r="B21" s="13">
        <f t="shared" si="1"/>
        <v>749978.4642</v>
      </c>
      <c r="C21" s="13"/>
      <c r="D21" s="13">
        <f t="shared" si="2"/>
        <v>4749847.704</v>
      </c>
      <c r="E21" s="13"/>
      <c r="F21" s="14">
        <v>50000.0</v>
      </c>
      <c r="G21" s="13">
        <f t="shared" si="3"/>
        <v>2477461.704</v>
      </c>
    </row>
    <row r="22">
      <c r="A22" s="12">
        <v>6.0</v>
      </c>
      <c r="B22" s="13">
        <f t="shared" si="1"/>
        <v>724979.1821</v>
      </c>
      <c r="C22" s="13"/>
      <c r="D22" s="13">
        <f t="shared" si="2"/>
        <v>5474826.886</v>
      </c>
      <c r="E22" s="13"/>
      <c r="F22" s="14">
        <v>50000.0</v>
      </c>
      <c r="G22" s="13">
        <f t="shared" si="3"/>
        <v>3152440.886</v>
      </c>
    </row>
    <row r="23">
      <c r="A23" s="12">
        <v>7.0</v>
      </c>
      <c r="B23" s="13">
        <f t="shared" si="1"/>
        <v>700813.2094</v>
      </c>
      <c r="C23" s="13"/>
      <c r="D23" s="13">
        <f t="shared" si="2"/>
        <v>6175640.095</v>
      </c>
      <c r="E23" s="13"/>
      <c r="F23" s="14">
        <v>100000.0</v>
      </c>
      <c r="G23" s="13">
        <f t="shared" si="3"/>
        <v>3753254.095</v>
      </c>
    </row>
    <row r="24">
      <c r="A24" s="12">
        <v>8.0</v>
      </c>
      <c r="B24" s="13">
        <f t="shared" si="1"/>
        <v>677452.769</v>
      </c>
      <c r="C24" s="13"/>
      <c r="D24" s="13">
        <f t="shared" si="2"/>
        <v>6853092.864</v>
      </c>
      <c r="E24" s="13"/>
      <c r="F24" s="14">
        <v>25000.0</v>
      </c>
      <c r="G24" s="13">
        <f t="shared" si="3"/>
        <v>4405706.864</v>
      </c>
    </row>
    <row r="25">
      <c r="A25" s="12">
        <v>9.0</v>
      </c>
      <c r="B25" s="13">
        <f t="shared" si="1"/>
        <v>654871.0101</v>
      </c>
      <c r="C25" s="13"/>
      <c r="D25" s="13">
        <f t="shared" si="2"/>
        <v>7507963.874</v>
      </c>
      <c r="E25" s="13"/>
      <c r="F25" s="14">
        <v>25000.0</v>
      </c>
      <c r="G25" s="13">
        <f t="shared" si="3"/>
        <v>5035577.874</v>
      </c>
    </row>
    <row r="26">
      <c r="A26" s="12">
        <v>10.0</v>
      </c>
      <c r="B26" s="13">
        <f t="shared" si="1"/>
        <v>633041.9764</v>
      </c>
      <c r="C26" s="13"/>
      <c r="D26" s="13">
        <f t="shared" si="2"/>
        <v>8141005.851</v>
      </c>
      <c r="E26" s="13"/>
      <c r="F26" s="13"/>
      <c r="G26" s="13">
        <f t="shared" si="3"/>
        <v>5668619.851</v>
      </c>
    </row>
  </sheetData>
  <drawing r:id="rId1"/>
</worksheet>
</file>